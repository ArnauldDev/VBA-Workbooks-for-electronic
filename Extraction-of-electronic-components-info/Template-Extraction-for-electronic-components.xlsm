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hub\ArnauldDev\VBA-Workbooks-for-electronic\Extraction-of-electronic-components-info\"/>
    </mc:Choice>
  </mc:AlternateContent>
  <bookViews>
    <workbookView xWindow="0" yWindow="0" windowWidth="23040" windowHeight="10452"/>
  </bookViews>
  <sheets>
    <sheet name="ACCUEIL" sheetId="1" r:id="rId1"/>
    <sheet name="CONNECTEURS" sheetId="2" r:id="rId2"/>
    <sheet name="RESISTANCES" sheetId="3" r:id="rId3"/>
    <sheet name="CONDENSATEURS" sheetId="4" r:id="rId4"/>
    <sheet name="SELF" sheetId="5" r:id="rId5"/>
    <sheet name="LED" sheetId="6" r:id="rId6"/>
  </sheets>
  <functionGroups builtInGroupCount="18"/>
  <definedNames>
    <definedName name="_xlnm._FilterDatabase" localSheetId="1" hidden="1">CONNECTEURS!$A$1:$R$1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" i="2" l="1"/>
  <c r="Q7" i="2"/>
  <c r="Q8" i="2"/>
  <c r="Q9" i="2"/>
  <c r="Q4" i="2" l="1"/>
  <c r="Q2" i="2"/>
  <c r="Q3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5" i="2"/>
</calcChain>
</file>

<file path=xl/sharedStrings.xml><?xml version="1.0" encoding="utf-8"?>
<sst xmlns="http://schemas.openxmlformats.org/spreadsheetml/2006/main" count="100" uniqueCount="63">
  <si>
    <t>Description</t>
  </si>
  <si>
    <t>Fabricant</t>
  </si>
  <si>
    <t>Référence Fabricant</t>
  </si>
  <si>
    <t>Code Commande</t>
  </si>
  <si>
    <t>Pour modifier les macros, vous devez avoir afficher l’onglet "Développeur", puis aller sur "Visualiser le code"</t>
  </si>
  <si>
    <t>Type de montage</t>
  </si>
  <si>
    <t>Lien</t>
  </si>
  <si>
    <t>Stock magasin</t>
  </si>
  <si>
    <t>Quantité minimum souhaitée</t>
  </si>
  <si>
    <t>Localisation</t>
  </si>
  <si>
    <t>Distributeur</t>
  </si>
  <si>
    <t>Réf. Produit associé</t>
  </si>
  <si>
    <t>TODO</t>
  </si>
  <si>
    <t>Si les macros ne trouvent pas le champ recherché alors la valeur de la cellule du champ sera "#N/A" pour  « aucune valeur n’est disponible »</t>
  </si>
  <si>
    <t>DOC</t>
  </si>
  <si>
    <t>Label</t>
  </si>
  <si>
    <t>Ne se baser que sur les infos que l'on est capable d'extraire depuis les sites Internet des distributeurs.</t>
  </si>
  <si>
    <t>Terminer la macro de la page CONNECTEURS</t>
  </si>
  <si>
    <t>WIP</t>
  </si>
  <si>
    <t>FIXME</t>
  </si>
  <si>
    <t>Faire la page RESISTANCES</t>
  </si>
  <si>
    <t>RS</t>
  </si>
  <si>
    <t>TE Connectivity</t>
  </si>
  <si>
    <t>1658621-1</t>
  </si>
  <si>
    <t>Connecteur IDC TE Connectivity Femelle, 10 contacts, 2 rangées, pas 2.54mm, Montage sur câble, série AMP-LATCH Novo</t>
  </si>
  <si>
    <t>454-2362</t>
  </si>
  <si>
    <t xml:space="preserve">	Angle droit</t>
  </si>
  <si>
    <t xml:space="preserve">	Montage sur câble</t>
  </si>
  <si>
    <t xml:space="preserve">	IDC</t>
  </si>
  <si>
    <t>NEXT</t>
  </si>
  <si>
    <t>Mettre au point le réglage des règles pour l'alerte du dépassement du seuil minimum du stock afin de passer commande</t>
  </si>
  <si>
    <t>Exemple de Classeur avec Macro en VBA pour la gestion d'un stock de composants électroniques</t>
  </si>
  <si>
    <t>Pas
(mm)</t>
  </si>
  <si>
    <t>Quantité
à commander</t>
  </si>
  <si>
    <t>Stock
magasin</t>
  </si>
  <si>
    <t>Quantité minimum
souhaitée</t>
  </si>
  <si>
    <t>Référence
Fabricant</t>
  </si>
  <si>
    <t>Code
Commande</t>
  </si>
  <si>
    <t>Localisation
du stock</t>
  </si>
  <si>
    <t>Nombre
de contacts</t>
  </si>
  <si>
    <t>Nombre
de rangées</t>
  </si>
  <si>
    <t>Orientation
du corps</t>
  </si>
  <si>
    <t>Type de
raccordement</t>
  </si>
  <si>
    <t>Courant
(A)</t>
  </si>
  <si>
    <t>Farnell</t>
  </si>
  <si>
    <t xml:space="preserve">	PHOENIX CONTACT</t>
  </si>
  <si>
    <t>MC 1,5/10-ST-3,5</t>
  </si>
  <si>
    <t>Bornier enfichable, 3.5 mm, 10 Voies, 28AWG à 16AWG, 1.5 mm², Par vis, 8 A</t>
  </si>
  <si>
    <t xml:space="preserve">	5089037</t>
  </si>
  <si>
    <t xml:space="preserve"> </t>
  </si>
  <si>
    <t>Winslow</t>
  </si>
  <si>
    <t>W9507RC</t>
  </si>
  <si>
    <t>Adaptateur CI, SOIC femelle 24 broches vers DIP 24 contacts Mâle, montage Traversant</t>
  </si>
  <si>
    <t>158-2963</t>
  </si>
  <si>
    <t xml:space="preserve">	Droit</t>
  </si>
  <si>
    <t xml:space="preserve">	Traversant</t>
  </si>
  <si>
    <t>Molex</t>
  </si>
  <si>
    <t>43025-0400</t>
  </si>
  <si>
    <t>Boitier de connecteur Femelle, 4 contacts sur 2 rangs, pas 3mm, Droit, Montage sur câble, série Micro-Fit 3.0</t>
  </si>
  <si>
    <t>233-2753</t>
  </si>
  <si>
    <t>Possibilité de créer un bouton pour entrée un/des composants du stock et un la sortie du stock, à partir de la réf, fabricant</t>
  </si>
  <si>
    <t>Possibilité de créer un bouton pour entrée composant par bon de commande pour mise à jour du stock</t>
  </si>
  <si>
    <t>Ajout d'une colonne : Prix pour l'unité (par multiple de 5) ou Prix pour :Pièce Multiple: 1 Minimum: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</si>
</sst>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€_-;\-* #,##0.00\ _€_-;_-* &quot;-&quot;??\ _€_-;_-@_-"/>
    <numFmt numFmtId="164" formatCode="_-* #,##0.00\ [$€-40C]_-;\-* #,##0.00\ [$€-40C]_-;_-* &quot;-&quot;??\ [$€-40C]_-;_-@_-"/>
    <numFmt numFmtId="165" formatCode="_-* #,##0\ _€_-;\-* #,##0\ _€_-;_-* &quot;-&quot;??\ _€_-;_-@_-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u/>
      <sz val="8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3" fontId="8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2" fillId="0" borderId="0" xfId="0" applyFont="1"/>
    <xf numFmtId="164" fontId="0" fillId="0" borderId="0" xfId="0" applyNumberFormat="1"/>
    <xf numFmtId="14" fontId="2" fillId="0" borderId="0" xfId="0" applyNumberFormat="1" applyFont="1"/>
    <xf numFmtId="0" fontId="5" fillId="0" borderId="0" xfId="1" applyFont="1"/>
    <xf numFmtId="0" fontId="6" fillId="0" borderId="0" xfId="0" applyFont="1"/>
    <xf numFmtId="0" fontId="2" fillId="0" borderId="0" xfId="0" applyNumberFormat="1" applyFont="1"/>
    <xf numFmtId="0" fontId="0" fillId="0" borderId="0" xfId="0" applyNumberFormat="1"/>
    <xf numFmtId="0" fontId="7" fillId="0" borderId="0" xfId="0" applyFont="1"/>
    <xf numFmtId="0" fontId="3" fillId="0" borderId="0" xfId="1"/>
    <xf numFmtId="165" fontId="0" fillId="0" borderId="0" xfId="2" applyNumberFormat="1" applyFont="1"/>
    <xf numFmtId="0" fontId="2" fillId="0" borderId="0" xfId="0" applyFont="1" applyAlignment="1">
      <alignment wrapText="1"/>
    </xf>
    <xf numFmtId="165" fontId="2" fillId="0" borderId="0" xfId="2" applyNumberFormat="1" applyFont="1" applyAlignment="1">
      <alignment wrapText="1"/>
    </xf>
    <xf numFmtId="0" fontId="2" fillId="0" borderId="0" xfId="0" applyNumberFormat="1" applyFont="1" applyAlignment="1">
      <alignment wrapText="1"/>
    </xf>
    <xf numFmtId="0" fontId="0" fillId="0" borderId="0" xfId="0" applyAlignment="1">
      <alignment wrapText="1"/>
    </xf>
  </cellXfs>
  <cellStyles count="3">
    <cellStyle name="Lien hypertexte" xfId="1" builtinId="8"/>
    <cellStyle name="Milliers" xfId="2" builtinId="3"/>
    <cellStyle name="Normal" xfId="0" builtinId="0"/>
  </cellStyles>
  <dxfs count="19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9717577</xdr:colOff>
          <xdr:row>6</xdr:row>
          <xdr:rowOff>15240</xdr:rowOff>
        </xdr:from>
        <xdr:to>
          <xdr:col>2</xdr:col>
          <xdr:colOff>12056917</xdr:colOff>
          <xdr:row>8</xdr:row>
          <xdr:rowOff>7620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 CONNECTEUR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9717577</xdr:colOff>
          <xdr:row>8</xdr:row>
          <xdr:rowOff>60960</xdr:rowOff>
        </xdr:from>
        <xdr:to>
          <xdr:col>2</xdr:col>
          <xdr:colOff>12056917</xdr:colOff>
          <xdr:row>10</xdr:row>
          <xdr:rowOff>53340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RESISTANCE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7621</xdr:colOff>
          <xdr:row>4</xdr:row>
          <xdr:rowOff>173182</xdr:rowOff>
        </xdr:from>
        <xdr:to>
          <xdr:col>2</xdr:col>
          <xdr:colOff>9552709</xdr:colOff>
          <xdr:row>34</xdr:row>
          <xdr:rowOff>92133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Naviguation dans la gestion du stock des composants électroniques du magasin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9611590</xdr:colOff>
          <xdr:row>4</xdr:row>
          <xdr:rowOff>173182</xdr:rowOff>
        </xdr:from>
        <xdr:to>
          <xdr:col>3</xdr:col>
          <xdr:colOff>1385</xdr:colOff>
          <xdr:row>34</xdr:row>
          <xdr:rowOff>92133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Ajouter une ligne dans le Classeur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462280</xdr:colOff>
      <xdr:row>7</xdr:row>
      <xdr:rowOff>119381</xdr:rowOff>
    </xdr:from>
    <xdr:to>
      <xdr:col>1</xdr:col>
      <xdr:colOff>713740</xdr:colOff>
      <xdr:row>10</xdr:row>
      <xdr:rowOff>158751</xdr:rowOff>
    </xdr:to>
    <xdr:pic macro="[0]!ThisWorkbook.AllerSurLaFeuilleCONNECTEURS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030" y="1421131"/>
          <a:ext cx="251460" cy="5918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167640</xdr:colOff>
          <xdr:row>5</xdr:row>
          <xdr:rowOff>164177</xdr:rowOff>
        </xdr:from>
        <xdr:to>
          <xdr:col>2</xdr:col>
          <xdr:colOff>236220</xdr:colOff>
          <xdr:row>11</xdr:row>
          <xdr:rowOff>141317</xdr:rowOff>
        </xdr:to>
        <xdr:sp macro="" textlink="">
          <xdr:nvSpPr>
            <xdr:cNvPr id="5134" name="Group Box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Connecteur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4718742</xdr:colOff>
      <xdr:row>7</xdr:row>
      <xdr:rowOff>175721</xdr:rowOff>
    </xdr:from>
    <xdr:to>
      <xdr:col>2</xdr:col>
      <xdr:colOff>5124877</xdr:colOff>
      <xdr:row>10</xdr:row>
      <xdr:rowOff>40061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02415" y="1457266"/>
          <a:ext cx="406135" cy="404668"/>
        </a:xfrm>
        <a:prstGeom prst="rect">
          <a:avLst/>
        </a:prstGeom>
      </xdr:spPr>
    </xdr:pic>
    <xdr:clientData/>
  </xdr:twoCellAnchor>
  <xdr:twoCellAnchor editAs="oneCell">
    <xdr:from>
      <xdr:col>2</xdr:col>
      <xdr:colOff>10075717</xdr:colOff>
      <xdr:row>21</xdr:row>
      <xdr:rowOff>68581</xdr:rowOff>
    </xdr:from>
    <xdr:to>
      <xdr:col>2</xdr:col>
      <xdr:colOff>11891364</xdr:colOff>
      <xdr:row>34</xdr:row>
      <xdr:rowOff>60961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59390" y="3871654"/>
          <a:ext cx="1815647" cy="23337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4487795</xdr:colOff>
          <xdr:row>5</xdr:row>
          <xdr:rowOff>164177</xdr:rowOff>
        </xdr:from>
        <xdr:to>
          <xdr:col>2</xdr:col>
          <xdr:colOff>5348855</xdr:colOff>
          <xdr:row>11</xdr:row>
          <xdr:rowOff>141317</xdr:rowOff>
        </xdr:to>
        <xdr:sp macro="" textlink="">
          <xdr:nvSpPr>
            <xdr:cNvPr id="5135" name="Group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Circuit Integré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396163</xdr:colOff>
          <xdr:row>5</xdr:row>
          <xdr:rowOff>164177</xdr:rowOff>
        </xdr:from>
        <xdr:to>
          <xdr:col>2</xdr:col>
          <xdr:colOff>1264843</xdr:colOff>
          <xdr:row>11</xdr:row>
          <xdr:rowOff>141317</xdr:rowOff>
        </xdr:to>
        <xdr:sp macro="" textlink="">
          <xdr:nvSpPr>
            <xdr:cNvPr id="5138" name="Group Box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Résistance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1424786</xdr:colOff>
          <xdr:row>5</xdr:row>
          <xdr:rowOff>164177</xdr:rowOff>
        </xdr:from>
        <xdr:to>
          <xdr:col>2</xdr:col>
          <xdr:colOff>2285846</xdr:colOff>
          <xdr:row>11</xdr:row>
          <xdr:rowOff>141317</xdr:rowOff>
        </xdr:to>
        <xdr:sp macro="" textlink="">
          <xdr:nvSpPr>
            <xdr:cNvPr id="5141" name="Group Box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Condensateur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9717577</xdr:colOff>
          <xdr:row>10</xdr:row>
          <xdr:rowOff>106680</xdr:rowOff>
        </xdr:from>
        <xdr:to>
          <xdr:col>2</xdr:col>
          <xdr:colOff>12056917</xdr:colOff>
          <xdr:row>12</xdr:row>
          <xdr:rowOff>99060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 CONDENSATEUR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3617423</xdr:colOff>
      <xdr:row>7</xdr:row>
      <xdr:rowOff>109798</xdr:rowOff>
    </xdr:from>
    <xdr:to>
      <xdr:col>2</xdr:col>
      <xdr:colOff>4194003</xdr:colOff>
      <xdr:row>10</xdr:row>
      <xdr:rowOff>135198</xdr:rowOff>
    </xdr:to>
    <xdr:pic macro="[0]!ThisWorkbook.AllerSurLaFeuilleLED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1096" y="1391343"/>
          <a:ext cx="576580" cy="5657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2445789</xdr:colOff>
          <xdr:row>5</xdr:row>
          <xdr:rowOff>164177</xdr:rowOff>
        </xdr:from>
        <xdr:to>
          <xdr:col>2</xdr:col>
          <xdr:colOff>3306849</xdr:colOff>
          <xdr:row>11</xdr:row>
          <xdr:rowOff>141317</xdr:rowOff>
        </xdr:to>
        <xdr:sp macro="" textlink="">
          <xdr:nvSpPr>
            <xdr:cNvPr id="5145" name="Group Box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Self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581314</xdr:colOff>
      <xdr:row>7</xdr:row>
      <xdr:rowOff>138548</xdr:rowOff>
    </xdr:from>
    <xdr:to>
      <xdr:col>2</xdr:col>
      <xdr:colOff>1116249</xdr:colOff>
      <xdr:row>10</xdr:row>
      <xdr:rowOff>124691</xdr:rowOff>
    </xdr:to>
    <xdr:pic macro="[0]!ThisWorkbook.AllerSurLaFeuilleRESISTANCES"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4987" y="1420093"/>
          <a:ext cx="534935" cy="526471"/>
        </a:xfrm>
        <a:prstGeom prst="rect">
          <a:avLst/>
        </a:prstGeom>
      </xdr:spPr>
    </xdr:pic>
    <xdr:clientData/>
  </xdr:twoCellAnchor>
  <xdr:twoCellAnchor editAs="oneCell">
    <xdr:from>
      <xdr:col>2</xdr:col>
      <xdr:colOff>1711006</xdr:colOff>
      <xdr:row>7</xdr:row>
      <xdr:rowOff>96519</xdr:rowOff>
    </xdr:from>
    <xdr:to>
      <xdr:col>2</xdr:col>
      <xdr:colOff>2017489</xdr:colOff>
      <xdr:row>10</xdr:row>
      <xdr:rowOff>159848</xdr:rowOff>
    </xdr:to>
    <xdr:pic macro="[0]!ThisWorkbook.AllerSurLaFeuilleCONDENSATEURS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746983" y="1544662"/>
          <a:ext cx="611969" cy="3064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152400</xdr:rowOff>
        </xdr:from>
        <xdr:to>
          <xdr:col>3</xdr:col>
          <xdr:colOff>20782</xdr:colOff>
          <xdr:row>64</xdr:row>
          <xdr:rowOff>38100</xdr:rowOff>
        </xdr:to>
        <xdr:sp macro="" textlink="">
          <xdr:nvSpPr>
            <xdr:cNvPr id="5146" name="Group Box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Maintenance du Classeur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2711559</xdr:colOff>
      <xdr:row>7</xdr:row>
      <xdr:rowOff>129678</xdr:rowOff>
    </xdr:from>
    <xdr:to>
      <xdr:col>2</xdr:col>
      <xdr:colOff>3054928</xdr:colOff>
      <xdr:row>10</xdr:row>
      <xdr:rowOff>124689</xdr:rowOff>
    </xdr:to>
    <xdr:pic macro="[0]!ThisWorkbook.AllerSurLaFeuilleSELF"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5232" y="1411223"/>
          <a:ext cx="343369" cy="535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3466792</xdr:colOff>
          <xdr:row>5</xdr:row>
          <xdr:rowOff>164177</xdr:rowOff>
        </xdr:from>
        <xdr:to>
          <xdr:col>2</xdr:col>
          <xdr:colOff>4327852</xdr:colOff>
          <xdr:row>11</xdr:row>
          <xdr:rowOff>141317</xdr:rowOff>
        </xdr:to>
        <xdr:sp macro="" textlink="">
          <xdr:nvSpPr>
            <xdr:cNvPr id="5148" name="Group Box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LED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9890143</xdr:colOff>
      <xdr:row>6</xdr:row>
      <xdr:rowOff>68644</xdr:rowOff>
    </xdr:from>
    <xdr:to>
      <xdr:col>2</xdr:col>
      <xdr:colOff>10004876</xdr:colOff>
      <xdr:row>7</xdr:row>
      <xdr:rowOff>153031</xdr:rowOff>
    </xdr:to>
    <xdr:pic macro="[0]!ThisWorkbook.ExtractionInfoConnecteurs"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3816" y="1170080"/>
          <a:ext cx="114733" cy="264496"/>
        </a:xfrm>
        <a:prstGeom prst="rect">
          <a:avLst/>
        </a:prstGeom>
      </xdr:spPr>
    </xdr:pic>
    <xdr:clientData/>
  </xdr:twoCellAnchor>
  <xdr:twoCellAnchor editAs="oneCell">
    <xdr:from>
      <xdr:col>2</xdr:col>
      <xdr:colOff>9818992</xdr:colOff>
      <xdr:row>8</xdr:row>
      <xdr:rowOff>96984</xdr:rowOff>
    </xdr:from>
    <xdr:to>
      <xdr:col>2</xdr:col>
      <xdr:colOff>10093497</xdr:colOff>
      <xdr:row>10</xdr:row>
      <xdr:rowOff>6928</xdr:rowOff>
    </xdr:to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2665" y="1558639"/>
          <a:ext cx="274505" cy="270162"/>
        </a:xfrm>
        <a:prstGeom prst="rect">
          <a:avLst/>
        </a:prstGeom>
      </xdr:spPr>
    </xdr:pic>
    <xdr:clientData/>
  </xdr:twoCellAnchor>
  <xdr:twoCellAnchor editAs="oneCell">
    <xdr:from>
      <xdr:col>2</xdr:col>
      <xdr:colOff>9843650</xdr:colOff>
      <xdr:row>10</xdr:row>
      <xdr:rowOff>123587</xdr:rowOff>
    </xdr:from>
    <xdr:to>
      <xdr:col>2</xdr:col>
      <xdr:colOff>10002977</xdr:colOff>
      <xdr:row>12</xdr:row>
      <xdr:rowOff>77184</xdr:rowOff>
    </xdr:to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0750079" y="2022704"/>
          <a:ext cx="313815" cy="1593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5508798</xdr:colOff>
          <xdr:row>5</xdr:row>
          <xdr:rowOff>164177</xdr:rowOff>
        </xdr:from>
        <xdr:to>
          <xdr:col>2</xdr:col>
          <xdr:colOff>6369858</xdr:colOff>
          <xdr:row>11</xdr:row>
          <xdr:rowOff>144088</xdr:rowOff>
        </xdr:to>
        <xdr:sp macro="" textlink="">
          <xdr:nvSpPr>
            <xdr:cNvPr id="5149" name="Group Box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Composant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6529801</xdr:colOff>
          <xdr:row>5</xdr:row>
          <xdr:rowOff>164177</xdr:rowOff>
        </xdr:from>
        <xdr:to>
          <xdr:col>2</xdr:col>
          <xdr:colOff>7390861</xdr:colOff>
          <xdr:row>11</xdr:row>
          <xdr:rowOff>144088</xdr:rowOff>
        </xdr:to>
        <xdr:sp macro="" textlink="">
          <xdr:nvSpPr>
            <xdr:cNvPr id="5150" name="Group Box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Composant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7550804</xdr:colOff>
          <xdr:row>5</xdr:row>
          <xdr:rowOff>164177</xdr:rowOff>
        </xdr:from>
        <xdr:to>
          <xdr:col>2</xdr:col>
          <xdr:colOff>8411864</xdr:colOff>
          <xdr:row>11</xdr:row>
          <xdr:rowOff>141317</xdr:rowOff>
        </xdr:to>
        <xdr:sp macro="" textlink="">
          <xdr:nvSpPr>
            <xdr:cNvPr id="5151" name="Group Box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Composant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8571807</xdr:colOff>
          <xdr:row>5</xdr:row>
          <xdr:rowOff>164177</xdr:rowOff>
        </xdr:from>
        <xdr:to>
          <xdr:col>2</xdr:col>
          <xdr:colOff>9432867</xdr:colOff>
          <xdr:row>11</xdr:row>
          <xdr:rowOff>141316</xdr:rowOff>
        </xdr:to>
        <xdr:sp macro="" textlink="">
          <xdr:nvSpPr>
            <xdr:cNvPr id="5152" name="Group Box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Composant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1257300</xdr:colOff>
          <xdr:row>0</xdr:row>
          <xdr:rowOff>30480</xdr:rowOff>
        </xdr:from>
        <xdr:to>
          <xdr:col>0</xdr:col>
          <xdr:colOff>3596640</xdr:colOff>
          <xdr:row>0</xdr:row>
          <xdr:rowOff>297180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 nouveau CONNECTEUR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1074420</xdr:colOff>
      <xdr:row>0</xdr:row>
      <xdr:rowOff>38100</xdr:rowOff>
    </xdr:from>
    <xdr:to>
      <xdr:col>0</xdr:col>
      <xdr:colOff>1189153</xdr:colOff>
      <xdr:row>0</xdr:row>
      <xdr:rowOff>302596</xdr:rowOff>
    </xdr:to>
    <xdr:pic macro="[0]!ThisWorkbook.ExtractionInfoConnecteurs"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20" y="38100"/>
          <a:ext cx="114733" cy="26449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1257300</xdr:colOff>
          <xdr:row>0</xdr:row>
          <xdr:rowOff>30480</xdr:rowOff>
        </xdr:from>
        <xdr:to>
          <xdr:col>0</xdr:col>
          <xdr:colOff>3596640</xdr:colOff>
          <xdr:row>0</xdr:row>
          <xdr:rowOff>297180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une nouvelle RESISTANCE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1005840</xdr:colOff>
      <xdr:row>0</xdr:row>
      <xdr:rowOff>30480</xdr:rowOff>
    </xdr:from>
    <xdr:to>
      <xdr:col>0</xdr:col>
      <xdr:colOff>1280345</xdr:colOff>
      <xdr:row>0</xdr:row>
      <xdr:rowOff>300642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840" y="30480"/>
          <a:ext cx="274505" cy="2701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1032853</xdr:colOff>
      <xdr:row>0</xdr:row>
      <xdr:rowOff>16907</xdr:rowOff>
    </xdr:from>
    <xdr:to>
      <xdr:col>0</xdr:col>
      <xdr:colOff>1192180</xdr:colOff>
      <xdr:row>0</xdr:row>
      <xdr:rowOff>330722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955609" y="94151"/>
          <a:ext cx="313815" cy="1593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1257300</xdr:colOff>
          <xdr:row>0</xdr:row>
          <xdr:rowOff>30480</xdr:rowOff>
        </xdr:from>
        <xdr:to>
          <xdr:col>0</xdr:col>
          <xdr:colOff>3596640</xdr:colOff>
          <xdr:row>0</xdr:row>
          <xdr:rowOff>297180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 nouveau CONDENSATEUR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au2" displayName="Tableau2" ref="B37:C64" totalsRowShown="0" headerRowDxfId="13">
  <autoFilter ref="B37:C64"/>
  <sortState ref="B38:C64">
    <sortCondition ref="B37:B64"/>
  </sortState>
  <tableColumns count="2">
    <tableColumn id="1" name="Label"/>
    <tableColumn id="2" name="Description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printerSettings" Target="../printerSettings/printerSettings1.bin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hyperlink" Target="https://support.microsoft.com/fr-fr/office/fonction-na-5469c2d1-a90c-4fb5-9bbc-64bd9bb6b47c" TargetMode="Externa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hyperlink" Target="https://support.microsoft.com/fr-fr/topic/afficher-l-onglet-d%C3%A9veloppeur-e1192344-5e56-4d45-931b-e5fd9bea2d45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B2:C45"/>
  <sheetViews>
    <sheetView showGridLines="0" tabSelected="1" zoomScale="110" zoomScaleNormal="110" workbookViewId="0"/>
  </sheetViews>
  <sheetFormatPr baseColWidth="10" defaultRowHeight="14.4" x14ac:dyDescent="0.3"/>
  <cols>
    <col min="1" max="1" width="2.77734375" customWidth="1"/>
    <col min="2" max="2" width="11.5546875" customWidth="1"/>
    <col min="3" max="3" width="176.88671875" customWidth="1"/>
  </cols>
  <sheetData>
    <row r="2" spans="2:2" ht="15.6" x14ac:dyDescent="0.3">
      <c r="B2" s="6" t="s">
        <v>31</v>
      </c>
    </row>
    <row r="3" spans="2:2" x14ac:dyDescent="0.3">
      <c r="B3" s="9" t="s">
        <v>16</v>
      </c>
    </row>
    <row r="4" spans="2:2" x14ac:dyDescent="0.3">
      <c r="B4" s="5" t="s">
        <v>4</v>
      </c>
    </row>
    <row r="37" spans="2:3" x14ac:dyDescent="0.3">
      <c r="B37" s="2" t="s">
        <v>15</v>
      </c>
      <c r="C37" s="2" t="s">
        <v>0</v>
      </c>
    </row>
    <row r="38" spans="2:3" x14ac:dyDescent="0.3">
      <c r="B38" t="s">
        <v>14</v>
      </c>
      <c r="C38" s="10" t="s">
        <v>13</v>
      </c>
    </row>
    <row r="39" spans="2:3" x14ac:dyDescent="0.3">
      <c r="B39" t="s">
        <v>18</v>
      </c>
      <c r="C39" t="s">
        <v>17</v>
      </c>
    </row>
    <row r="40" spans="2:3" x14ac:dyDescent="0.3">
      <c r="B40" t="s">
        <v>12</v>
      </c>
      <c r="C40" t="s">
        <v>20</v>
      </c>
    </row>
    <row r="41" spans="2:3" x14ac:dyDescent="0.3">
      <c r="B41" t="s">
        <v>19</v>
      </c>
      <c r="C41" t="s">
        <v>30</v>
      </c>
    </row>
    <row r="42" spans="2:3" x14ac:dyDescent="0.3">
      <c r="B42" t="s">
        <v>29</v>
      </c>
      <c r="C42" s="15" t="s">
        <v>62</v>
      </c>
    </row>
    <row r="43" spans="2:3" x14ac:dyDescent="0.3">
      <c r="B43" t="s">
        <v>29</v>
      </c>
      <c r="C43" t="s">
        <v>61</v>
      </c>
    </row>
    <row r="44" spans="2:3" x14ac:dyDescent="0.3">
      <c r="B44" t="s">
        <v>29</v>
      </c>
      <c r="C44" t="s">
        <v>60</v>
      </c>
    </row>
    <row r="45" spans="2:3" x14ac:dyDescent="0.3">
      <c r="B45" t="s">
        <v>49</v>
      </c>
    </row>
  </sheetData>
  <conditionalFormatting sqref="A1:XFD1048576">
    <cfRule type="cellIs" dxfId="18" priority="1" operator="equal">
      <formula>"NEXT"</formula>
    </cfRule>
    <cfRule type="cellIs" dxfId="17" priority="4" operator="equal">
      <formula>"FIXME"</formula>
    </cfRule>
    <cfRule type="cellIs" dxfId="16" priority="5" operator="equal">
      <formula>"WIP"</formula>
    </cfRule>
    <cfRule type="cellIs" dxfId="15" priority="6" operator="equal">
      <formula>"DOC"</formula>
    </cfRule>
    <cfRule type="cellIs" dxfId="14" priority="11" operator="equal">
      <formula>"TODO"</formula>
    </cfRule>
  </conditionalFormatting>
  <hyperlinks>
    <hyperlink ref="B4" r:id="rId1" display="Vous devez avoir afficher l’onglet &quot;Développeur&quot;"/>
    <hyperlink ref="C38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ThisWorkbook.ExtractionInfoConnecteurs">
                <anchor moveWithCells="1" sizeWithCells="1">
                  <from>
                    <xdr:col>2</xdr:col>
                    <xdr:colOff>9715500</xdr:colOff>
                    <xdr:row>6</xdr:row>
                    <xdr:rowOff>15240</xdr:rowOff>
                  </from>
                  <to>
                    <xdr:col>2</xdr:col>
                    <xdr:colOff>12054840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7" name="Button 2">
              <controlPr defaultSize="0" print="0" autoFill="0" autoPict="0" macro="[0]!ThisWorkbook.AllerSurLaFeuilleRESISTANCES">
                <anchor moveWithCells="1" sizeWithCells="1">
                  <from>
                    <xdr:col>2</xdr:col>
                    <xdr:colOff>9715500</xdr:colOff>
                    <xdr:row>8</xdr:row>
                    <xdr:rowOff>60960</xdr:rowOff>
                  </from>
                  <to>
                    <xdr:col>2</xdr:col>
                    <xdr:colOff>12054840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Group Box 3">
              <controlPr defaultSize="0" autoFill="0" autoPict="0">
                <anchor moveWithCells="1">
                  <from>
                    <xdr:col>1</xdr:col>
                    <xdr:colOff>7620</xdr:colOff>
                    <xdr:row>4</xdr:row>
                    <xdr:rowOff>175260</xdr:rowOff>
                  </from>
                  <to>
                    <xdr:col>2</xdr:col>
                    <xdr:colOff>9555480</xdr:colOff>
                    <xdr:row>34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9" name="Group Box 4">
              <controlPr defaultSize="0" autoFill="0" autoPict="0">
                <anchor moveWithCells="1">
                  <from>
                    <xdr:col>2</xdr:col>
                    <xdr:colOff>9608820</xdr:colOff>
                    <xdr:row>4</xdr:row>
                    <xdr:rowOff>175260</xdr:rowOff>
                  </from>
                  <to>
                    <xdr:col>3</xdr:col>
                    <xdr:colOff>0</xdr:colOff>
                    <xdr:row>34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0" name="Group Box 14">
              <controlPr defaultSize="0" autoFill="0" autoPict="0">
                <anchor moveWithCells="1">
                  <from>
                    <xdr:col>1</xdr:col>
                    <xdr:colOff>167640</xdr:colOff>
                    <xdr:row>5</xdr:row>
                    <xdr:rowOff>167640</xdr:rowOff>
                  </from>
                  <to>
                    <xdr:col>2</xdr:col>
                    <xdr:colOff>236220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1" name="Group Box 15">
              <controlPr defaultSize="0" autoFill="0" autoPict="0">
                <anchor moveWithCells="1">
                  <from>
                    <xdr:col>2</xdr:col>
                    <xdr:colOff>4488180</xdr:colOff>
                    <xdr:row>5</xdr:row>
                    <xdr:rowOff>167640</xdr:rowOff>
                  </from>
                  <to>
                    <xdr:col>2</xdr:col>
                    <xdr:colOff>5349240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2" name="Group Box 18">
              <controlPr defaultSize="0" autoFill="0" autoPict="0">
                <anchor moveWithCells="1">
                  <from>
                    <xdr:col>2</xdr:col>
                    <xdr:colOff>396240</xdr:colOff>
                    <xdr:row>5</xdr:row>
                    <xdr:rowOff>167640</xdr:rowOff>
                  </from>
                  <to>
                    <xdr:col>2</xdr:col>
                    <xdr:colOff>1264920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3" name="Group Box 21">
              <controlPr defaultSize="0" autoFill="0" autoPict="0">
                <anchor moveWithCells="1">
                  <from>
                    <xdr:col>2</xdr:col>
                    <xdr:colOff>1424940</xdr:colOff>
                    <xdr:row>5</xdr:row>
                    <xdr:rowOff>167640</xdr:rowOff>
                  </from>
                  <to>
                    <xdr:col>2</xdr:col>
                    <xdr:colOff>2286000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4" name="Button 24">
              <controlPr defaultSize="0" print="0" autoFill="0" autoPict="0" macro="[0]!ThisWorkbook.AllerSurLaFeuilleCONDENSATEURS">
                <anchor moveWithCells="1" sizeWithCells="1">
                  <from>
                    <xdr:col>2</xdr:col>
                    <xdr:colOff>9715500</xdr:colOff>
                    <xdr:row>10</xdr:row>
                    <xdr:rowOff>106680</xdr:rowOff>
                  </from>
                  <to>
                    <xdr:col>2</xdr:col>
                    <xdr:colOff>12054840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5" name="Group Box 25">
              <controlPr defaultSize="0" autoFill="0" autoPict="0">
                <anchor moveWithCells="1">
                  <from>
                    <xdr:col>2</xdr:col>
                    <xdr:colOff>2446020</xdr:colOff>
                    <xdr:row>5</xdr:row>
                    <xdr:rowOff>167640</xdr:rowOff>
                  </from>
                  <to>
                    <xdr:col>2</xdr:col>
                    <xdr:colOff>3307080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6" name="Group Box 26">
              <controlPr defaultSize="0" autoFill="0" autoPict="0">
                <anchor moveWithCells="1">
                  <from>
                    <xdr:col>1</xdr:col>
                    <xdr:colOff>7620</xdr:colOff>
                    <xdr:row>34</xdr:row>
                    <xdr:rowOff>152400</xdr:rowOff>
                  </from>
                  <to>
                    <xdr:col>3</xdr:col>
                    <xdr:colOff>22860</xdr:colOff>
                    <xdr:row>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17" name="Group Box 28">
              <controlPr defaultSize="0" autoFill="0" autoPict="0">
                <anchor moveWithCells="1">
                  <from>
                    <xdr:col>2</xdr:col>
                    <xdr:colOff>3467100</xdr:colOff>
                    <xdr:row>5</xdr:row>
                    <xdr:rowOff>167640</xdr:rowOff>
                  </from>
                  <to>
                    <xdr:col>2</xdr:col>
                    <xdr:colOff>4328160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8" name="Group Box 29">
              <controlPr defaultSize="0" autoFill="0" autoPict="0">
                <anchor moveWithCells="1">
                  <from>
                    <xdr:col>2</xdr:col>
                    <xdr:colOff>5509260</xdr:colOff>
                    <xdr:row>5</xdr:row>
                    <xdr:rowOff>167640</xdr:rowOff>
                  </from>
                  <to>
                    <xdr:col>2</xdr:col>
                    <xdr:colOff>6370320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19" name="Group Box 30">
              <controlPr defaultSize="0" autoFill="0" autoPict="0">
                <anchor moveWithCells="1">
                  <from>
                    <xdr:col>2</xdr:col>
                    <xdr:colOff>6530340</xdr:colOff>
                    <xdr:row>5</xdr:row>
                    <xdr:rowOff>167640</xdr:rowOff>
                  </from>
                  <to>
                    <xdr:col>2</xdr:col>
                    <xdr:colOff>7391400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20" name="Group Box 31">
              <controlPr defaultSize="0" autoFill="0" autoPict="0">
                <anchor moveWithCells="1">
                  <from>
                    <xdr:col>2</xdr:col>
                    <xdr:colOff>7551420</xdr:colOff>
                    <xdr:row>5</xdr:row>
                    <xdr:rowOff>167640</xdr:rowOff>
                  </from>
                  <to>
                    <xdr:col>2</xdr:col>
                    <xdr:colOff>8412480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21" name="Group Box 32">
              <controlPr defaultSize="0" autoFill="0" autoPict="0">
                <anchor moveWithCells="1">
                  <from>
                    <xdr:col>2</xdr:col>
                    <xdr:colOff>8572500</xdr:colOff>
                    <xdr:row>5</xdr:row>
                    <xdr:rowOff>167640</xdr:rowOff>
                  </from>
                  <to>
                    <xdr:col>2</xdr:col>
                    <xdr:colOff>9433560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R32"/>
  <sheetViews>
    <sheetView zoomScaleNormal="100" workbookViewId="0">
      <pane ySplit="1" topLeftCell="A2" activePane="bottomLeft" state="frozen"/>
      <selection activeCell="H1" sqref="H1"/>
      <selection pane="bottomLeft" activeCell="A2" sqref="A2"/>
    </sheetView>
  </sheetViews>
  <sheetFormatPr baseColWidth="10" defaultRowHeight="14.4" x14ac:dyDescent="0.3"/>
  <cols>
    <col min="1" max="1" width="65.77734375" customWidth="1"/>
    <col min="2" max="2" width="10.5546875" customWidth="1"/>
    <col min="3" max="3" width="21.109375" customWidth="1"/>
    <col min="4" max="4" width="18" bestFit="1" customWidth="1"/>
    <col min="5" max="6" width="18.77734375" bestFit="1" customWidth="1"/>
    <col min="7" max="7" width="20.21875" bestFit="1" customWidth="1"/>
    <col min="8" max="8" width="12.44140625" customWidth="1"/>
    <col min="9" max="9" width="23.21875" bestFit="1" customWidth="1"/>
    <col min="10" max="10" width="22.33203125" style="8" customWidth="1"/>
    <col min="11" max="11" width="13" style="1" customWidth="1"/>
    <col min="12" max="12" width="17.6640625" customWidth="1"/>
    <col min="13" max="13" width="18.77734375" customWidth="1"/>
    <col min="14" max="14" width="22.6640625" customWidth="1"/>
    <col min="15" max="15" width="19.5546875" customWidth="1"/>
    <col min="16" max="16" width="17.33203125" customWidth="1"/>
    <col min="17" max="17" width="21.44140625" style="11" customWidth="1"/>
    <col min="18" max="18" width="18" customWidth="1"/>
  </cols>
  <sheetData>
    <row r="1" spans="1:18" ht="28.05" customHeight="1" x14ac:dyDescent="0.3">
      <c r="A1" s="2" t="s">
        <v>0</v>
      </c>
      <c r="B1" s="12" t="s">
        <v>32</v>
      </c>
      <c r="C1" s="12" t="s">
        <v>39</v>
      </c>
      <c r="D1" s="12" t="s">
        <v>40</v>
      </c>
      <c r="E1" s="12" t="s">
        <v>41</v>
      </c>
      <c r="F1" s="2" t="s">
        <v>5</v>
      </c>
      <c r="G1" s="12" t="s">
        <v>42</v>
      </c>
      <c r="H1" s="12" t="s">
        <v>43</v>
      </c>
      <c r="I1" s="2" t="s">
        <v>1</v>
      </c>
      <c r="J1" s="14" t="s">
        <v>36</v>
      </c>
      <c r="K1" s="4" t="s">
        <v>10</v>
      </c>
      <c r="L1" s="12" t="s">
        <v>37</v>
      </c>
      <c r="M1" s="2" t="s">
        <v>6</v>
      </c>
      <c r="N1" s="2" t="s">
        <v>11</v>
      </c>
      <c r="O1" s="12" t="s">
        <v>35</v>
      </c>
      <c r="P1" s="12" t="s">
        <v>34</v>
      </c>
      <c r="Q1" s="13" t="s">
        <v>33</v>
      </c>
      <c r="R1" s="12" t="s">
        <v>38</v>
      </c>
    </row>
    <row r="2" spans="1:18" x14ac:dyDescent="0.3">
      <c r="A2" t="s">
        <v>52</v>
      </c>
      <c r="B2">
        <v>1.27</v>
      </c>
      <c r="C2" t="e">
        <v>#N/A</v>
      </c>
      <c r="D2" t="e">
        <v>#N/A</v>
      </c>
      <c r="E2" t="s">
        <v>54</v>
      </c>
      <c r="F2" t="s">
        <v>55</v>
      </c>
      <c r="G2" t="e">
        <v>#N/A</v>
      </c>
      <c r="H2" t="e">
        <v>#N/A</v>
      </c>
      <c r="I2" t="s">
        <v>50</v>
      </c>
      <c r="J2" s="8" t="s">
        <v>51</v>
      </c>
      <c r="K2" s="1" t="s">
        <v>21</v>
      </c>
      <c r="L2" t="s">
        <v>53</v>
      </c>
      <c r="M2" t="s">
        <v>12</v>
      </c>
      <c r="N2" t="e">
        <v>#N/A</v>
      </c>
      <c r="O2" t="s">
        <v>12</v>
      </c>
      <c r="P2" t="s">
        <v>12</v>
      </c>
      <c r="Q2" s="11">
        <f>IF(ISNUMBER(O2) = TRUE,IF(P2&lt;O2,O2-P2,0),0)</f>
        <v>0</v>
      </c>
      <c r="R2" t="s">
        <v>12</v>
      </c>
    </row>
    <row r="3" spans="1:18" x14ac:dyDescent="0.3">
      <c r="A3" t="s">
        <v>58</v>
      </c>
      <c r="B3">
        <v>3</v>
      </c>
      <c r="C3">
        <v>4</v>
      </c>
      <c r="D3">
        <v>2</v>
      </c>
      <c r="E3" t="s">
        <v>54</v>
      </c>
      <c r="F3" t="s">
        <v>27</v>
      </c>
      <c r="G3" t="e">
        <v>#N/A</v>
      </c>
      <c r="H3" t="e">
        <v>#N/A</v>
      </c>
      <c r="I3" t="s">
        <v>56</v>
      </c>
      <c r="J3" s="8" t="s">
        <v>57</v>
      </c>
      <c r="K3" s="1" t="s">
        <v>21</v>
      </c>
      <c r="L3" t="s">
        <v>59</v>
      </c>
      <c r="M3" t="s">
        <v>12</v>
      </c>
      <c r="N3" t="e">
        <v>#N/A</v>
      </c>
      <c r="O3" t="s">
        <v>12</v>
      </c>
      <c r="P3" t="s">
        <v>12</v>
      </c>
      <c r="Q3" s="11">
        <f>IF(ISNUMBER(O3) = TRUE,IF(P3&lt;O3,O3-P3,0),0)</f>
        <v>0</v>
      </c>
      <c r="R3" t="s">
        <v>12</v>
      </c>
    </row>
    <row r="4" spans="1:18" x14ac:dyDescent="0.3">
      <c r="A4" t="s">
        <v>47</v>
      </c>
      <c r="B4">
        <v>3.5</v>
      </c>
      <c r="C4">
        <v>10</v>
      </c>
      <c r="D4" t="e">
        <v>#N/A</v>
      </c>
      <c r="E4" t="e">
        <v>#N/A</v>
      </c>
      <c r="F4" t="e">
        <v>#N/A</v>
      </c>
      <c r="G4" t="e">
        <v>#N/A</v>
      </c>
      <c r="H4">
        <v>8</v>
      </c>
      <c r="I4" t="s">
        <v>45</v>
      </c>
      <c r="J4" s="8" t="s">
        <v>46</v>
      </c>
      <c r="K4" s="1" t="s">
        <v>44</v>
      </c>
      <c r="L4" t="s">
        <v>48</v>
      </c>
      <c r="M4" t="s">
        <v>12</v>
      </c>
      <c r="N4" t="e">
        <v>#N/A</v>
      </c>
      <c r="O4">
        <v>10</v>
      </c>
      <c r="P4">
        <v>11</v>
      </c>
      <c r="Q4" s="11">
        <f>IF(ISNUMBER(O4) = TRUE,IF(P4&lt;O4,O4-P4,0),0)</f>
        <v>0</v>
      </c>
      <c r="R4" t="s">
        <v>12</v>
      </c>
    </row>
    <row r="5" spans="1:18" x14ac:dyDescent="0.3">
      <c r="A5" t="s">
        <v>24</v>
      </c>
      <c r="B5">
        <v>2.54</v>
      </c>
      <c r="C5">
        <v>10</v>
      </c>
      <c r="D5">
        <v>2</v>
      </c>
      <c r="E5" t="s">
        <v>26</v>
      </c>
      <c r="F5" t="s">
        <v>27</v>
      </c>
      <c r="G5" t="s">
        <v>28</v>
      </c>
      <c r="H5">
        <v>1</v>
      </c>
      <c r="I5" t="s">
        <v>22</v>
      </c>
      <c r="J5" s="8" t="s">
        <v>23</v>
      </c>
      <c r="K5" s="1" t="s">
        <v>21</v>
      </c>
      <c r="L5" t="s">
        <v>25</v>
      </c>
      <c r="M5" t="s">
        <v>12</v>
      </c>
      <c r="N5" t="e">
        <v>#N/A</v>
      </c>
      <c r="O5">
        <v>5</v>
      </c>
      <c r="P5">
        <v>5</v>
      </c>
      <c r="Q5" s="11">
        <f>IF(ISNUMBER(O5) = TRUE,IF(P5&lt;O5,O5-P5,0),0)</f>
        <v>0</v>
      </c>
      <c r="R5" t="s">
        <v>12</v>
      </c>
    </row>
    <row r="6" spans="1:18" x14ac:dyDescent="0.3">
      <c r="Q6" s="11">
        <f>IF(ISNUMBER(O6) = TRUE,IF(P6&lt;O6,O6-P6,0),0)</f>
        <v>0</v>
      </c>
    </row>
    <row r="7" spans="1:18" x14ac:dyDescent="0.3">
      <c r="Q7" s="11">
        <f>IF(ISNUMBER(O7) = TRUE,IF(P7&lt;O7,O7-P7,0),0)</f>
        <v>0</v>
      </c>
    </row>
    <row r="8" spans="1:18" x14ac:dyDescent="0.3">
      <c r="Q8" s="11">
        <f>IF(ISNUMBER(O8) = TRUE,IF(P8&lt;O8,O8-P8,0),0)</f>
        <v>0</v>
      </c>
    </row>
    <row r="9" spans="1:18" x14ac:dyDescent="0.3">
      <c r="Q9" s="11">
        <f>IF(ISNUMBER(O9) = TRUE,IF(P9&lt;O9,O9-P9,0),0)</f>
        <v>0</v>
      </c>
    </row>
    <row r="10" spans="1:18" x14ac:dyDescent="0.3">
      <c r="Q10" s="11">
        <f>IF(ISNUMBER(O10) = TRUE,IF(P10&lt;O10,O10-P10,0),0)</f>
        <v>0</v>
      </c>
    </row>
    <row r="11" spans="1:18" x14ac:dyDescent="0.3">
      <c r="Q11" s="11">
        <f>IF(ISNUMBER(O11) = TRUE,IF(P11&lt;O11,O11-P11,0),0)</f>
        <v>0</v>
      </c>
    </row>
    <row r="12" spans="1:18" x14ac:dyDescent="0.3">
      <c r="Q12" s="11">
        <f>IF(ISNUMBER(O12) = TRUE,IF(P12&lt;O12,O12-P12,0),0)</f>
        <v>0</v>
      </c>
    </row>
    <row r="13" spans="1:18" x14ac:dyDescent="0.3">
      <c r="Q13" s="11">
        <f>IF(ISNUMBER(O13) = TRUE,IF(P13&lt;O13,O13-P13,0),0)</f>
        <v>0</v>
      </c>
    </row>
    <row r="14" spans="1:18" x14ac:dyDescent="0.3">
      <c r="Q14" s="11">
        <f>IF(ISNUMBER(O14) = TRUE,IF(P14&lt;O14,O14-P14,0),0)</f>
        <v>0</v>
      </c>
    </row>
    <row r="15" spans="1:18" x14ac:dyDescent="0.3">
      <c r="Q15" s="11">
        <f>IF(ISNUMBER(O15) = TRUE,IF(P15&lt;O15,O15-P15,0),0)</f>
        <v>0</v>
      </c>
    </row>
    <row r="16" spans="1:18" x14ac:dyDescent="0.3">
      <c r="Q16" s="11">
        <f>IF(ISNUMBER(O16) = TRUE,IF(P16&lt;O16,O16-P16,0),0)</f>
        <v>0</v>
      </c>
    </row>
    <row r="17" spans="17:17" x14ac:dyDescent="0.3">
      <c r="Q17" s="11">
        <f>IF(ISNUMBER(O17) = TRUE,IF(P17&lt;O17,O17-P17,0),0)</f>
        <v>0</v>
      </c>
    </row>
    <row r="18" spans="17:17" x14ac:dyDescent="0.3">
      <c r="Q18" s="11">
        <f>IF(ISNUMBER(O18) = TRUE,IF(P18&lt;O18,O18-P18,0),0)</f>
        <v>0</v>
      </c>
    </row>
    <row r="19" spans="17:17" x14ac:dyDescent="0.3">
      <c r="Q19" s="11">
        <f>IF(ISNUMBER(O19) = TRUE,IF(P19&lt;O19,O19-P19,0),0)</f>
        <v>0</v>
      </c>
    </row>
    <row r="20" spans="17:17" x14ac:dyDescent="0.3">
      <c r="Q20" s="11">
        <f>IF(ISNUMBER(O20) = TRUE,IF(P20&lt;O20,O20-P20,0),0)</f>
        <v>0</v>
      </c>
    </row>
    <row r="21" spans="17:17" x14ac:dyDescent="0.3">
      <c r="Q21" s="11">
        <f>IF(ISNUMBER(O21) = TRUE,IF(P21&lt;O21,O21-P21,0),0)</f>
        <v>0</v>
      </c>
    </row>
    <row r="22" spans="17:17" x14ac:dyDescent="0.3">
      <c r="Q22" s="11">
        <f>IF(ISNUMBER(O22) = TRUE,IF(P22&lt;O22,O22-P22,0),0)</f>
        <v>0</v>
      </c>
    </row>
    <row r="23" spans="17:17" x14ac:dyDescent="0.3">
      <c r="Q23" s="11">
        <f>IF(ISNUMBER(O23) = TRUE,IF(P23&lt;O23,O23-P23,0),0)</f>
        <v>0</v>
      </c>
    </row>
    <row r="24" spans="17:17" x14ac:dyDescent="0.3">
      <c r="Q24" s="11">
        <f>IF(ISNUMBER(O24) = TRUE,IF(P24&lt;O24,O24-P24,0),0)</f>
        <v>0</v>
      </c>
    </row>
    <row r="25" spans="17:17" x14ac:dyDescent="0.3">
      <c r="Q25" s="11">
        <f>IF(ISNUMBER(O25) = TRUE,IF(P25&lt;O25,O25-P25,0),0)</f>
        <v>0</v>
      </c>
    </row>
    <row r="26" spans="17:17" x14ac:dyDescent="0.3">
      <c r="Q26" s="11">
        <f>IF(ISNUMBER(O26) = TRUE,IF(P26&lt;O26,O26-P26,0),0)</f>
        <v>0</v>
      </c>
    </row>
    <row r="27" spans="17:17" x14ac:dyDescent="0.3">
      <c r="Q27" s="11">
        <f>IF(ISNUMBER(O27) = TRUE,IF(P27&lt;O27,O27-P27,0),0)</f>
        <v>0</v>
      </c>
    </row>
    <row r="28" spans="17:17" x14ac:dyDescent="0.3">
      <c r="Q28" s="11">
        <f>IF(ISNUMBER(O28) = TRUE,IF(P28&lt;O28,O28-P28,0),0)</f>
        <v>0</v>
      </c>
    </row>
    <row r="29" spans="17:17" x14ac:dyDescent="0.3">
      <c r="Q29" s="11">
        <f>IF(ISNUMBER(O29) = TRUE,IF(P29&lt;O29,O29-P29,0),0)</f>
        <v>0</v>
      </c>
    </row>
    <row r="30" spans="17:17" x14ac:dyDescent="0.3">
      <c r="Q30" s="11">
        <f>IF(ISNUMBER(O30) = TRUE,IF(P30&lt;O30,O30-P30,0),0)</f>
        <v>0</v>
      </c>
    </row>
    <row r="31" spans="17:17" x14ac:dyDescent="0.3">
      <c r="Q31" s="11">
        <f>IF(ISNUMBER(O31) = TRUE,IF(P31&lt;O31,O31-P31,0),0)</f>
        <v>0</v>
      </c>
    </row>
    <row r="32" spans="17:17" x14ac:dyDescent="0.3">
      <c r="Q32" s="11">
        <f>IF(ISNUMBER(O32) = TRUE,IF(P32&lt;O32,O32-P32,0),0)</f>
        <v>0</v>
      </c>
    </row>
  </sheetData>
  <autoFilter ref="A1:R1">
    <sortState ref="A2:R32">
      <sortCondition ref="A1"/>
    </sortState>
  </autoFilter>
  <sortState ref="A1:C5">
    <sortCondition ref="A1"/>
  </sortState>
  <conditionalFormatting sqref="A1:XFD1048576">
    <cfRule type="containsText" dxfId="12" priority="3" operator="containsText" text="WIP">
      <formula>NOT(ISERROR(SEARCH("WIP",A1)))</formula>
    </cfRule>
    <cfRule type="containsText" dxfId="11" priority="4" operator="containsText" text="TODO">
      <formula>NOT(ISERROR(SEARCH("TODO",A1)))</formula>
    </cfRule>
  </conditionalFormatting>
  <conditionalFormatting sqref="Q1:Q1048576">
    <cfRule type="cellIs" dxfId="10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ThisWorkbook.ExtractionInfoConnecteurs">
                <anchor moveWithCells="1" sizeWithCells="1">
                  <from>
                    <xdr:col>0</xdr:col>
                    <xdr:colOff>1257300</xdr:colOff>
                    <xdr:row>0</xdr:row>
                    <xdr:rowOff>30480</xdr:rowOff>
                  </from>
                  <to>
                    <xdr:col>0</xdr:col>
                    <xdr:colOff>3596640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L1"/>
  <sheetViews>
    <sheetView workbookViewId="0">
      <pane ySplit="1" topLeftCell="A2" activePane="bottomLeft" state="frozen"/>
      <selection pane="bottomLeft" sqref="A1:XFD1"/>
    </sheetView>
  </sheetViews>
  <sheetFormatPr baseColWidth="10" defaultRowHeight="14.4" x14ac:dyDescent="0.3"/>
  <cols>
    <col min="1" max="1" width="65.77734375" customWidth="1"/>
    <col min="2" max="2" width="17.109375" bestFit="1" customWidth="1"/>
    <col min="3" max="3" width="13.33203125" style="3" customWidth="1"/>
    <col min="4" max="4" width="17.77734375" style="1" bestFit="1" customWidth="1"/>
    <col min="5" max="5" width="21.5546875" bestFit="1" customWidth="1"/>
    <col min="6" max="6" width="20" bestFit="1" customWidth="1"/>
    <col min="9" max="9" width="16.77734375" customWidth="1"/>
    <col min="11" max="11" width="14.44140625" customWidth="1"/>
  </cols>
  <sheetData>
    <row r="1" spans="1:12" ht="28.05" customHeight="1" x14ac:dyDescent="0.3">
      <c r="A1" s="2" t="s">
        <v>0</v>
      </c>
      <c r="B1" s="2" t="s">
        <v>5</v>
      </c>
      <c r="C1" s="2" t="s">
        <v>1</v>
      </c>
      <c r="D1" s="14" t="s">
        <v>36</v>
      </c>
      <c r="E1" s="4" t="s">
        <v>10</v>
      </c>
      <c r="F1" s="12" t="s">
        <v>37</v>
      </c>
      <c r="G1" s="2" t="s">
        <v>6</v>
      </c>
      <c r="H1" s="2" t="s">
        <v>11</v>
      </c>
      <c r="I1" s="12" t="s">
        <v>35</v>
      </c>
      <c r="J1" s="12" t="s">
        <v>34</v>
      </c>
      <c r="K1" s="12" t="s">
        <v>33</v>
      </c>
      <c r="L1" s="12" t="s">
        <v>38</v>
      </c>
    </row>
  </sheetData>
  <conditionalFormatting sqref="A1">
    <cfRule type="containsText" dxfId="9" priority="5" operator="containsText" text="TODO">
      <formula>NOT(ISERROR(SEARCH("TODO",A1)))</formula>
    </cfRule>
  </conditionalFormatting>
  <conditionalFormatting sqref="B1">
    <cfRule type="containsText" dxfId="8" priority="3" operator="containsText" text="WIP">
      <formula>NOT(ISERROR(SEARCH("WIP",B1)))</formula>
    </cfRule>
    <cfRule type="containsText" dxfId="7" priority="4" operator="containsText" text="TODO">
      <formula>NOT(ISERROR(SEARCH("TODO",B1)))</formula>
    </cfRule>
  </conditionalFormatting>
  <conditionalFormatting sqref="C1:L1">
    <cfRule type="containsText" dxfId="6" priority="1" operator="containsText" text="WIP">
      <formula>NOT(ISERROR(SEARCH("WIP",C1)))</formula>
    </cfRule>
    <cfRule type="containsText" dxfId="5" priority="2" operator="containsText" text="TODO">
      <formula>NOT(ISERROR(SEARCH("TODO",C1)))</formula>
    </cfRule>
  </conditionalFormatting>
  <pageMargins left="0.7" right="0.7" top="0.75" bottom="0.75" header="0.3" footer="0.3"/>
  <pageSetup paperSize="9" orientation="portrait" r:id="rId1"/>
  <headerFooter>
    <oddHeader>&amp;C&amp;D &amp;B&amp;ITime:&amp;I&amp;B&amp;T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ExtractionInfoConnecteurs">
                <anchor moveWithCells="1" sizeWithCells="1">
                  <from>
                    <xdr:col>0</xdr:col>
                    <xdr:colOff>1257300</xdr:colOff>
                    <xdr:row>0</xdr:row>
                    <xdr:rowOff>30480</xdr:rowOff>
                  </from>
                  <to>
                    <xdr:col>0</xdr:col>
                    <xdr:colOff>3596640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1"/>
  <sheetViews>
    <sheetView workbookViewId="0">
      <pane ySplit="1" topLeftCell="A2" activePane="bottomLeft" state="frozen"/>
      <selection pane="bottomLeft" activeCell="A9" sqref="A9"/>
    </sheetView>
  </sheetViews>
  <sheetFormatPr baseColWidth="10" defaultRowHeight="14.4" x14ac:dyDescent="0.3"/>
  <cols>
    <col min="1" max="1" width="65.77734375" customWidth="1"/>
    <col min="2" max="2" width="15.6640625" bestFit="1" customWidth="1"/>
    <col min="4" max="4" width="17.77734375" bestFit="1" customWidth="1"/>
  </cols>
  <sheetData>
    <row r="1" spans="1:11" ht="28.05" customHeight="1" x14ac:dyDescent="0.3">
      <c r="A1" s="2" t="s">
        <v>0</v>
      </c>
      <c r="B1" s="2" t="s">
        <v>5</v>
      </c>
      <c r="C1" s="2" t="s">
        <v>1</v>
      </c>
      <c r="D1" s="7" t="s">
        <v>2</v>
      </c>
      <c r="E1" s="4" t="s">
        <v>10</v>
      </c>
      <c r="F1" s="2" t="s">
        <v>3</v>
      </c>
      <c r="G1" s="2" t="s">
        <v>6</v>
      </c>
      <c r="H1" s="2" t="s">
        <v>11</v>
      </c>
      <c r="I1" s="2" t="s">
        <v>8</v>
      </c>
      <c r="J1" s="2" t="s">
        <v>7</v>
      </c>
      <c r="K1" s="2" t="s">
        <v>9</v>
      </c>
    </row>
  </sheetData>
  <conditionalFormatting sqref="A1">
    <cfRule type="containsText" dxfId="4" priority="5" operator="containsText" text="TODO">
      <formula>NOT(ISERROR(SEARCH("TODO",A1)))</formula>
    </cfRule>
  </conditionalFormatting>
  <conditionalFormatting sqref="B1">
    <cfRule type="containsText" dxfId="3" priority="3" operator="containsText" text="WIP">
      <formula>NOT(ISERROR(SEARCH("WIP",B1)))</formula>
    </cfRule>
    <cfRule type="containsText" dxfId="2" priority="4" operator="containsText" text="TODO">
      <formula>NOT(ISERROR(SEARCH("TODO",B1)))</formula>
    </cfRule>
  </conditionalFormatting>
  <conditionalFormatting sqref="C1:K1">
    <cfRule type="containsText" dxfId="1" priority="1" operator="containsText" text="WIP">
      <formula>NOT(ISERROR(SEARCH("WIP",C1)))</formula>
    </cfRule>
    <cfRule type="containsText" dxfId="0" priority="2" operator="containsText" text="TODO">
      <formula>NOT(ISERROR(SEARCH("TODO",C1)))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ThisWorkbook.ExtractionInfoConnecteurs">
                <anchor moveWithCells="1" sizeWithCells="1">
                  <from>
                    <xdr:col>0</xdr:col>
                    <xdr:colOff>1257300</xdr:colOff>
                    <xdr:row>0</xdr:row>
                    <xdr:rowOff>30480</xdr:rowOff>
                  </from>
                  <to>
                    <xdr:col>0</xdr:col>
                    <xdr:colOff>3596640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CONNECTEURS</vt:lpstr>
      <vt:lpstr>RESISTANCES</vt:lpstr>
      <vt:lpstr>CONDENSATEURS</vt:lpstr>
      <vt:lpstr>SELF</vt:lpstr>
      <vt:lpstr>LED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BIGANZOLI</dc:creator>
  <cp:lastModifiedBy>Arnauld Biganzoli</cp:lastModifiedBy>
  <dcterms:created xsi:type="dcterms:W3CDTF">2021-10-12T13:44:13Z</dcterms:created>
  <dcterms:modified xsi:type="dcterms:W3CDTF">2021-11-01T18:02:37Z</dcterms:modified>
</cp:coreProperties>
</file>